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ummary" sheetId="1" state="visible" r:id="rId1"/>
    <sheet xmlns:r="http://schemas.openxmlformats.org/officeDocument/2006/relationships" name="Transaction Ledger" sheetId="2" state="visible" r:id="rId2"/>
    <sheet xmlns:r="http://schemas.openxmlformats.org/officeDocument/2006/relationships" name="Monthl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11"/>
    </font>
    <font>
      <name val="Arial"/>
      <b val="1"/>
      <color rgb="001A1A1A"/>
      <sz val="10"/>
    </font>
    <font>
      <name val="Arial"/>
      <color rgb="001A1A1A"/>
      <sz val="10"/>
    </font>
    <font>
      <name val="Arial"/>
      <b val="1"/>
      <color rgb="00FFFFFF"/>
      <sz val="10"/>
    </font>
    <font>
      <name val="Arial"/>
      <b val="1"/>
      <color rgb="00FFFFFF"/>
      <sz val="14"/>
    </font>
    <font>
      <name val="Arial"/>
      <color rgb="001A1A1A"/>
      <sz val="9"/>
    </font>
    <font>
      <name val="Arial"/>
      <b val="1"/>
      <color rgb="001A1A1A"/>
      <sz val="9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4" fontId="5" fillId="6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right" vertical="center"/>
    </xf>
    <xf numFmtId="4" fontId="6" fillId="2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4" fontId="8" fillId="8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4" fontId="9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right" vertical="center"/>
    </xf>
    <xf numFmtId="4" fontId="9" fillId="6" borderId="1" applyAlignment="1" pivotButton="0" quotePrefix="0" xfId="0">
      <alignment horizontal="right" vertical="center"/>
    </xf>
    <xf numFmtId="4" fontId="8" fillId="9" borderId="1" applyAlignment="1" pivotButton="0" quotePrefix="0" xfId="0">
      <alignment horizontal="right" vertical="center"/>
    </xf>
    <xf numFmtId="0" fontId="6" fillId="2" borderId="6" applyAlignment="1" pivotButton="0" quotePrefix="0" xfId="0">
      <alignment horizontal="left" vertical="center"/>
    </xf>
    <xf numFmtId="4" fontId="6" fillId="2" borderId="6" applyAlignment="1" pivotButton="0" quotePrefix="0" xfId="0">
      <alignment horizontal="right" vertical="center"/>
    </xf>
    <xf numFmtId="0" fontId="9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8" customWidth="1" min="3" max="3"/>
    <col width="18" customWidth="1" min="4" max="4"/>
  </cols>
  <sheetData>
    <row r="1" ht="36" customHeight="1">
      <c r="A1" s="1" t="inlineStr">
        <is>
          <t>NATIONAL COMMERCIAL BANK LIMITED</t>
        </is>
      </c>
    </row>
    <row r="2" ht="18" customHeight="1">
      <c r="A2" s="2" t="inlineStr">
        <is>
          <t>Corporate Banking Division | IFSC: NCBL0001234 | Branch: Andheri West, Mumbai</t>
        </is>
      </c>
    </row>
    <row r="4" ht="20" customHeight="1">
      <c r="A4" s="3" t="inlineStr">
        <is>
          <t>ACCOUNT DETAILS</t>
        </is>
      </c>
    </row>
    <row r="5" ht="18" customHeight="1">
      <c r="A5" s="4" t="inlineStr">
        <is>
          <t>Account Holder</t>
        </is>
      </c>
      <c r="B5" s="5" t="inlineStr">
        <is>
          <t>ABC Private Limited</t>
        </is>
      </c>
      <c r="C5" s="6" t="n"/>
      <c r="D5" s="7" t="n"/>
    </row>
    <row r="6" ht="18" customHeight="1">
      <c r="A6" s="4" t="inlineStr">
        <is>
          <t>Account Number</t>
        </is>
      </c>
      <c r="B6" s="5" t="inlineStr">
        <is>
          <t>NCBL-CORP-8821-0042</t>
        </is>
      </c>
      <c r="C6" s="6" t="n"/>
      <c r="D6" s="7" t="n"/>
    </row>
    <row r="7" ht="18" customHeight="1">
      <c r="A7" s="4" t="inlineStr">
        <is>
          <t>Account Type</t>
        </is>
      </c>
      <c r="B7" s="5" t="inlineStr">
        <is>
          <t>Current Account (Corporate)</t>
        </is>
      </c>
      <c r="C7" s="6" t="n"/>
      <c r="D7" s="7" t="n"/>
    </row>
    <row r="8" ht="18" customHeight="1">
      <c r="A8" s="4" t="inlineStr">
        <is>
          <t>IFSC Code</t>
        </is>
      </c>
      <c r="B8" s="5" t="inlineStr">
        <is>
          <t>NCBL0001234</t>
        </is>
      </c>
      <c r="C8" s="6" t="n"/>
      <c r="D8" s="7" t="n"/>
    </row>
    <row r="9" ht="18" customHeight="1">
      <c r="A9" s="4" t="inlineStr">
        <is>
          <t>Branch</t>
        </is>
      </c>
      <c r="B9" s="5" t="inlineStr">
        <is>
          <t>Andheri West, Mumbai - 400053</t>
        </is>
      </c>
      <c r="C9" s="6" t="n"/>
      <c r="D9" s="7" t="n"/>
    </row>
    <row r="10" ht="18" customHeight="1">
      <c r="A10" s="4" t="inlineStr">
        <is>
          <t>CIN</t>
        </is>
      </c>
      <c r="B10" s="5" t="inlineStr">
        <is>
          <t>U74999MH2015PTC263420</t>
        </is>
      </c>
      <c r="C10" s="6" t="n"/>
      <c r="D10" s="7" t="n"/>
    </row>
    <row r="11" ht="18" customHeight="1">
      <c r="A11" s="4" t="inlineStr">
        <is>
          <t>GSTIN</t>
        </is>
      </c>
      <c r="B11" s="5" t="inlineStr">
        <is>
          <t>27AABCA1234A1ZQ</t>
        </is>
      </c>
      <c r="C11" s="6" t="n"/>
      <c r="D11" s="7" t="n"/>
    </row>
    <row r="12" ht="18" customHeight="1">
      <c r="A12" s="4" t="inlineStr">
        <is>
          <t>Statement Period</t>
        </is>
      </c>
      <c r="B12" s="5" t="inlineStr">
        <is>
          <t>01-Oct-2024 to 31-Mar-2025</t>
        </is>
      </c>
      <c r="C12" s="6" t="n"/>
      <c r="D12" s="7" t="n"/>
    </row>
    <row r="13" ht="18" customHeight="1">
      <c r="A13" s="4" t="inlineStr">
        <is>
          <t>Currency</t>
        </is>
      </c>
      <c r="B13" s="5" t="inlineStr">
        <is>
          <t>INR (Indian Rupee)</t>
        </is>
      </c>
      <c r="C13" s="6" t="n"/>
      <c r="D13" s="7" t="n"/>
    </row>
    <row r="14" ht="18" customHeight="1">
      <c r="A14" s="4" t="inlineStr">
        <is>
          <t>Relationship Manager</t>
        </is>
      </c>
      <c r="B14" s="5" t="inlineStr">
        <is>
          <t>Mr. Suresh Patil</t>
        </is>
      </c>
      <c r="C14" s="6" t="n"/>
      <c r="D14" s="7" t="n"/>
    </row>
    <row r="15" ht="18" customHeight="1">
      <c r="A15" s="4" t="inlineStr">
        <is>
          <t>Credit Limit (OD)</t>
        </is>
      </c>
      <c r="B15" s="5" t="inlineStr">
        <is>
          <t>INR 2,00,00,000 (2 Crore)</t>
        </is>
      </c>
      <c r="C15" s="6" t="n"/>
      <c r="D15" s="7" t="n"/>
    </row>
    <row r="17" ht="20" customHeight="1">
      <c r="A17" s="3" t="inlineStr">
        <is>
          <t>6-MONTH SUMMARY (Oct 2024 – Mar 2025)</t>
        </is>
      </c>
    </row>
    <row r="18">
      <c r="A18" s="8" t="inlineStr">
        <is>
          <t>Month</t>
        </is>
      </c>
      <c r="B18" s="8" t="inlineStr">
        <is>
          <t>Total Credits (INR)</t>
        </is>
      </c>
      <c r="C18" s="8" t="inlineStr">
        <is>
          <t>Total Debits (INR)</t>
        </is>
      </c>
      <c r="D18" s="8" t="inlineStr">
        <is>
          <t>Closing Balance (INR)</t>
        </is>
      </c>
    </row>
    <row r="19" ht="18" customHeight="1">
      <c r="A19" s="9" t="inlineStr">
        <is>
          <t>Oct-2024</t>
        </is>
      </c>
      <c r="B19" s="10" t="n">
        <v>48250000</v>
      </c>
      <c r="C19" s="10" t="n">
        <v>39510000</v>
      </c>
      <c r="D19" s="10" t="n">
        <v>18740000</v>
      </c>
    </row>
    <row r="20" ht="18" customHeight="1">
      <c r="A20" s="11" t="inlineStr">
        <is>
          <t>Nov-2024</t>
        </is>
      </c>
      <c r="B20" s="12" t="n">
        <v>51075000</v>
      </c>
      <c r="C20" s="12" t="n">
        <v>42130000</v>
      </c>
      <c r="D20" s="12" t="n">
        <v>27685000</v>
      </c>
    </row>
    <row r="21" ht="18" customHeight="1">
      <c r="A21" s="9" t="inlineStr">
        <is>
          <t>Dec-2024</t>
        </is>
      </c>
      <c r="B21" s="10" t="n">
        <v>62500000</v>
      </c>
      <c r="C21" s="10" t="n">
        <v>51860000</v>
      </c>
      <c r="D21" s="10" t="n">
        <v>38325000</v>
      </c>
    </row>
    <row r="22" ht="18" customHeight="1">
      <c r="A22" s="11" t="inlineStr">
        <is>
          <t>Jan-2025</t>
        </is>
      </c>
      <c r="B22" s="12" t="n">
        <v>49520000</v>
      </c>
      <c r="C22" s="12" t="n">
        <v>47580000</v>
      </c>
      <c r="D22" s="12" t="n">
        <v>40265000</v>
      </c>
    </row>
    <row r="23" ht="18" customHeight="1">
      <c r="A23" s="9" t="inlineStr">
        <is>
          <t>Feb-2025</t>
        </is>
      </c>
      <c r="B23" s="10" t="n">
        <v>53840000</v>
      </c>
      <c r="C23" s="10" t="n">
        <v>51290000</v>
      </c>
      <c r="D23" s="10" t="n">
        <v>42815000</v>
      </c>
    </row>
    <row r="24" ht="18" customHeight="1">
      <c r="A24" s="11" t="inlineStr">
        <is>
          <t>Mar-2025</t>
        </is>
      </c>
      <c r="B24" s="12" t="n">
        <v>67215000</v>
      </c>
      <c r="C24" s="12" t="n">
        <v>59430000</v>
      </c>
      <c r="D24" s="12" t="n">
        <v>50600000</v>
      </c>
    </row>
    <row r="25" ht="20" customHeight="1">
      <c r="A25" s="8" t="inlineStr">
        <is>
          <t>TOTAL</t>
        </is>
      </c>
      <c r="B25" s="13">
        <f>SUM(B19:B24)</f>
        <v/>
      </c>
      <c r="C25" s="13">
        <f>SUM(C19:C24)</f>
        <v/>
      </c>
      <c r="D25" s="14" t="inlineStr">
        <is>
          <t>5,06,00,000</t>
        </is>
      </c>
    </row>
    <row r="27">
      <c r="A27" s="3" t="inlineStr">
        <is>
          <t>KEY METRICS</t>
        </is>
      </c>
    </row>
    <row r="28" ht="18" customHeight="1">
      <c r="A28" s="4" t="inlineStr">
        <is>
          <t>Average Monthly Credit</t>
        </is>
      </c>
      <c r="B28" s="15" t="inlineStr">
        <is>
          <t>INR 5,20,66,667</t>
        </is>
      </c>
      <c r="C28" s="6" t="n"/>
      <c r="D28" s="7" t="n"/>
    </row>
    <row r="29" ht="18" customHeight="1">
      <c r="A29" s="16" t="inlineStr">
        <is>
          <t>Average Monthly Debit</t>
        </is>
      </c>
      <c r="B29" s="5" t="inlineStr">
        <is>
          <t>INR 4,86,33,333</t>
        </is>
      </c>
      <c r="C29" s="6" t="n"/>
      <c r="D29" s="7" t="n"/>
    </row>
    <row r="30" ht="18" customHeight="1">
      <c r="A30" s="4" t="inlineStr">
        <is>
          <t>Average Monthly Balance (AMB)</t>
        </is>
      </c>
      <c r="B30" s="15" t="inlineStr">
        <is>
          <t>INR 3,47,38,333</t>
        </is>
      </c>
      <c r="C30" s="6" t="n"/>
      <c r="D30" s="7" t="n"/>
    </row>
    <row r="31" ht="18" customHeight="1">
      <c r="A31" s="16" t="inlineStr">
        <is>
          <t>Peak Balance</t>
        </is>
      </c>
      <c r="B31" s="5" t="inlineStr">
        <is>
          <t>INR 5,06,00,000 (31-Mar-2025)</t>
        </is>
      </c>
      <c r="C31" s="6" t="n"/>
      <c r="D31" s="7" t="n"/>
    </row>
    <row r="32" ht="18" customHeight="1">
      <c r="A32" s="4" t="inlineStr">
        <is>
          <t>Minimum Balance</t>
        </is>
      </c>
      <c r="B32" s="15" t="inlineStr">
        <is>
          <t>INR 1,87,40,000 (31-Oct-2024)</t>
        </is>
      </c>
      <c r="C32" s="6" t="n"/>
      <c r="D32" s="7" t="n"/>
    </row>
    <row r="33" ht="18" customHeight="1">
      <c r="A33" s="16" t="inlineStr">
        <is>
          <t>Inward Cheque Returns (6M)</t>
        </is>
      </c>
      <c r="B33" s="5" t="inlineStr">
        <is>
          <t>2</t>
        </is>
      </c>
      <c r="C33" s="6" t="n"/>
      <c r="D33" s="7" t="n"/>
    </row>
    <row r="34" ht="18" customHeight="1">
      <c r="A34" s="4" t="inlineStr">
        <is>
          <t>Outward Cheque Returns (6M)</t>
        </is>
      </c>
      <c r="B34" s="15" t="inlineStr">
        <is>
          <t>0</t>
        </is>
      </c>
      <c r="C34" s="6" t="n"/>
      <c r="D34" s="7" t="n"/>
    </row>
    <row r="35" ht="18" customHeight="1">
      <c r="A35" s="16" t="inlineStr">
        <is>
          <t>OD Utilised (Max)</t>
        </is>
      </c>
      <c r="B35" s="5" t="inlineStr">
        <is>
          <t>INR 48,00,000 (Nov-2024)</t>
        </is>
      </c>
      <c r="C35" s="6" t="n"/>
      <c r="D35" s="7" t="n"/>
    </row>
    <row r="36" ht="18" customHeight="1">
      <c r="A36" s="4" t="inlineStr">
        <is>
          <t>OD Utilised (Current)</t>
        </is>
      </c>
      <c r="B36" s="15" t="inlineStr">
        <is>
          <t>NIL</t>
        </is>
      </c>
      <c r="C36" s="6" t="n"/>
      <c r="D36" s="7" t="n"/>
    </row>
    <row r="37" ht="18" customHeight="1">
      <c r="A37" s="16" t="inlineStr">
        <is>
          <t>EMI / Loan Deductions</t>
        </is>
      </c>
      <c r="B37" s="5" t="inlineStr">
        <is>
          <t>INR 18,75,000 per month (Term Loan)</t>
        </is>
      </c>
      <c r="C37" s="6" t="n"/>
      <c r="D37" s="7" t="n"/>
    </row>
  </sheetData>
  <mergeCells count="26">
    <mergeCell ref="B11:D11"/>
    <mergeCell ref="A17:D17"/>
    <mergeCell ref="B14:D14"/>
    <mergeCell ref="A4:D4"/>
    <mergeCell ref="B8:D8"/>
    <mergeCell ref="B13:D13"/>
    <mergeCell ref="B29:D29"/>
    <mergeCell ref="B34:D34"/>
    <mergeCell ref="B10:D10"/>
    <mergeCell ref="B28:D28"/>
    <mergeCell ref="B37:D37"/>
    <mergeCell ref="B9:D9"/>
    <mergeCell ref="B30:D30"/>
    <mergeCell ref="B15:D15"/>
    <mergeCell ref="B6:D6"/>
    <mergeCell ref="B33:D33"/>
    <mergeCell ref="A1:D1"/>
    <mergeCell ref="B5:D5"/>
    <mergeCell ref="B36:D36"/>
    <mergeCell ref="B32:D32"/>
    <mergeCell ref="B35:D35"/>
    <mergeCell ref="B7:D7"/>
    <mergeCell ref="A27:D27"/>
    <mergeCell ref="B31:D31"/>
    <mergeCell ref="A2:D2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2" customWidth="1" min="3" max="3"/>
    <col width="22" customWidth="1" min="4" max="4"/>
    <col width="18" customWidth="1" min="5" max="5"/>
    <col width="18" customWidth="1" min="6" max="6"/>
    <col width="22" customWidth="1" min="7" max="7"/>
  </cols>
  <sheetData>
    <row r="1" ht="36" customHeight="1">
      <c r="A1" s="17" t="inlineStr">
        <is>
          <t>ABC PRIVATE LIMITED — BANK STATEMENT</t>
        </is>
      </c>
    </row>
    <row r="2" ht="16" customHeight="1">
      <c r="A2" s="2" t="inlineStr">
        <is>
          <t>National Commercial Bank Ltd | A/C: NCBL-CORP-8821-0042 | Period: 01-Oct-2024 to 31-Mar-2025</t>
        </is>
      </c>
    </row>
    <row r="3" ht="18" customHeight="1">
      <c r="A3" s="18" t="inlineStr"/>
      <c r="B3" s="18" t="inlineStr"/>
      <c r="C3" s="18" t="inlineStr">
        <is>
          <t>Opening Balance as on 01-Oct-2024</t>
        </is>
      </c>
      <c r="D3" s="18" t="inlineStr"/>
      <c r="E3" s="18" t="inlineStr"/>
      <c r="F3" s="18" t="inlineStr"/>
      <c r="G3" s="19" t="inlineStr">
        <is>
          <t>1,00,00,000.00</t>
        </is>
      </c>
    </row>
    <row r="4" ht="22" customHeight="1">
      <c r="A4" s="8" t="inlineStr">
        <is>
          <t>Date</t>
        </is>
      </c>
      <c r="B4" s="8" t="inlineStr">
        <is>
          <t>Value Date</t>
        </is>
      </c>
      <c r="C4" s="8" t="inlineStr">
        <is>
          <t>Transaction Description</t>
        </is>
      </c>
      <c r="D4" s="8" t="inlineStr">
        <is>
          <t>Reference / Cheque No.</t>
        </is>
      </c>
      <c r="E4" s="8" t="inlineStr">
        <is>
          <t>Debit (INR)</t>
        </is>
      </c>
      <c r="F4" s="8" t="inlineStr">
        <is>
          <t>Credit (INR)</t>
        </is>
      </c>
      <c r="G4" s="8" t="inlineStr">
        <is>
          <t>Balance (INR)</t>
        </is>
      </c>
    </row>
    <row r="5" ht="16" customHeight="1">
      <c r="A5" s="20" t="inlineStr">
        <is>
          <t>01-Oct-2024</t>
        </is>
      </c>
      <c r="B5" s="20" t="inlineStr">
        <is>
          <t>01-Oct-2024</t>
        </is>
      </c>
      <c r="C5" s="21" t="inlineStr">
        <is>
          <t>NEFT DR - VENDOR PAYMENT - STEEL CORP LTD</t>
        </is>
      </c>
      <c r="D5" s="20" t="inlineStr">
        <is>
          <t>NCBL877572</t>
        </is>
      </c>
      <c r="E5" s="22" t="n">
        <v>2250000</v>
      </c>
      <c r="F5" s="23" t="inlineStr">
        <is>
          <t>-</t>
        </is>
      </c>
      <c r="G5" s="24" t="n">
        <v>7750000</v>
      </c>
    </row>
    <row r="6" ht="16" customHeight="1">
      <c r="A6" s="25" t="inlineStr">
        <is>
          <t>01-Oct-2024</t>
        </is>
      </c>
      <c r="B6" s="25" t="inlineStr">
        <is>
          <t>01-Oct-2024</t>
        </is>
      </c>
      <c r="C6" s="26" t="inlineStr">
        <is>
          <t>RTGS DR - RAW MATERIAL PURCHASE</t>
        </is>
      </c>
      <c r="D6" s="25" t="inlineStr">
        <is>
          <t>NCBL334053</t>
        </is>
      </c>
      <c r="E6" s="22" t="n">
        <v>3800000</v>
      </c>
      <c r="F6" s="27" t="inlineStr">
        <is>
          <t>-</t>
        </is>
      </c>
      <c r="G6" s="28" t="n">
        <v>3950000</v>
      </c>
    </row>
    <row r="7" ht="16" customHeight="1">
      <c r="A7" s="20" t="inlineStr">
        <is>
          <t>01-Oct-2024</t>
        </is>
      </c>
      <c r="B7" s="20" t="inlineStr">
        <is>
          <t>01-Oct-2024</t>
        </is>
      </c>
      <c r="C7" s="21" t="inlineStr">
        <is>
          <t>NEFT DR - SALARY DISBURSEMENT OCT 2024</t>
        </is>
      </c>
      <c r="D7" s="20" t="inlineStr">
        <is>
          <t>NCBL207473</t>
        </is>
      </c>
      <c r="E7" s="22" t="n">
        <v>4575000</v>
      </c>
      <c r="F7" s="23" t="inlineStr">
        <is>
          <t>-</t>
        </is>
      </c>
      <c r="G7" s="24" t="n">
        <v>-625000</v>
      </c>
    </row>
    <row r="8" ht="16" customHeight="1">
      <c r="A8" s="25" t="inlineStr">
        <is>
          <t>03-Oct-2024</t>
        </is>
      </c>
      <c r="B8" s="25" t="inlineStr">
        <is>
          <t>03-Oct-2024</t>
        </is>
      </c>
      <c r="C8" s="26" t="inlineStr">
        <is>
          <t>CHQ DR - RENT PAYMENT ANDHERI OFFICE</t>
        </is>
      </c>
      <c r="D8" s="25" t="inlineStr">
        <is>
          <t>CHQ131244</t>
        </is>
      </c>
      <c r="E8" s="22" t="n">
        <v>825000</v>
      </c>
      <c r="F8" s="27" t="inlineStr">
        <is>
          <t>-</t>
        </is>
      </c>
      <c r="G8" s="28" t="n">
        <v>-1450000</v>
      </c>
    </row>
    <row r="9" ht="16" customHeight="1">
      <c r="A9" s="20" t="inlineStr">
        <is>
          <t>03-Oct-2024</t>
        </is>
      </c>
      <c r="B9" s="20" t="inlineStr">
        <is>
          <t>03-Oct-2024</t>
        </is>
      </c>
      <c r="C9" s="21" t="inlineStr">
        <is>
          <t>NEFT DR - ELECTRICITY &amp; UTILITIES</t>
        </is>
      </c>
      <c r="D9" s="20" t="inlineStr">
        <is>
          <t>NCBL343962</t>
        </is>
      </c>
      <c r="E9" s="22" t="n">
        <v>360000</v>
      </c>
      <c r="F9" s="23" t="inlineStr">
        <is>
          <t>-</t>
        </is>
      </c>
      <c r="G9" s="24" t="n">
        <v>-1810000</v>
      </c>
    </row>
    <row r="10" ht="16" customHeight="1">
      <c r="A10" s="25" t="inlineStr">
        <is>
          <t>03-Oct-2024</t>
        </is>
      </c>
      <c r="B10" s="25" t="inlineStr">
        <is>
          <t>03-Oct-2024</t>
        </is>
      </c>
      <c r="C10" s="26" t="inlineStr">
        <is>
          <t>NEFT CR - RAJESH INDUSTRIES LTD</t>
        </is>
      </c>
      <c r="D10" s="25" t="inlineStr">
        <is>
          <t>NCBL127824</t>
        </is>
      </c>
      <c r="E10" s="27" t="inlineStr">
        <is>
          <t>-</t>
        </is>
      </c>
      <c r="F10" s="29" t="n">
        <v>4825000</v>
      </c>
      <c r="G10" s="28" t="n">
        <v>3015000</v>
      </c>
    </row>
    <row r="11" ht="16" customHeight="1">
      <c r="A11" s="20" t="inlineStr">
        <is>
          <t>04-Oct-2024</t>
        </is>
      </c>
      <c r="B11" s="20" t="inlineStr">
        <is>
          <t>04-Oct-2024</t>
        </is>
      </c>
      <c r="C11" s="21" t="inlineStr">
        <is>
          <t>RTGS CR - GLOBAL EXPORTS PVT LTD</t>
        </is>
      </c>
      <c r="D11" s="20" t="inlineStr">
        <is>
          <t>NCBL671412</t>
        </is>
      </c>
      <c r="E11" s="23" t="inlineStr">
        <is>
          <t>-</t>
        </is>
      </c>
      <c r="F11" s="29" t="n">
        <v>5500000</v>
      </c>
      <c r="G11" s="24" t="n">
        <v>8515000</v>
      </c>
    </row>
    <row r="12" ht="16" customHeight="1">
      <c r="A12" s="25" t="inlineStr">
        <is>
          <t>04-Oct-2024</t>
        </is>
      </c>
      <c r="B12" s="25" t="inlineStr">
        <is>
          <t>04-Oct-2024</t>
        </is>
      </c>
      <c r="C12" s="26" t="inlineStr">
        <is>
          <t>RTGS DR - ADVANCE TO SUPPLIER</t>
        </is>
      </c>
      <c r="D12" s="25" t="inlineStr">
        <is>
          <t>NCBL571029</t>
        </is>
      </c>
      <c r="E12" s="22" t="n">
        <v>2500000</v>
      </c>
      <c r="F12" s="27" t="inlineStr">
        <is>
          <t>-</t>
        </is>
      </c>
      <c r="G12" s="28" t="n">
        <v>6015000</v>
      </c>
    </row>
    <row r="13" ht="16" customHeight="1">
      <c r="A13" s="20" t="inlineStr">
        <is>
          <t>04-Oct-2024</t>
        </is>
      </c>
      <c r="B13" s="20" t="inlineStr">
        <is>
          <t>04-Oct-2024</t>
        </is>
      </c>
      <c r="C13" s="21" t="inlineStr">
        <is>
          <t>NEFT CR - MAHINDRA SUPPLIERS CO</t>
        </is>
      </c>
      <c r="D13" s="20" t="inlineStr">
        <is>
          <t>NCBL948749</t>
        </is>
      </c>
      <c r="E13" s="23" t="inlineStr">
        <is>
          <t>-</t>
        </is>
      </c>
      <c r="F13" s="29" t="n">
        <v>3875000</v>
      </c>
      <c r="G13" s="24" t="n">
        <v>9890000</v>
      </c>
    </row>
    <row r="14" ht="16" customHeight="1">
      <c r="A14" s="25" t="inlineStr">
        <is>
          <t>06-Oct-2024</t>
        </is>
      </c>
      <c r="B14" s="25" t="inlineStr">
        <is>
          <t>06-Oct-2024</t>
        </is>
      </c>
      <c r="C14" s="26" t="inlineStr">
        <is>
          <t>IMPS CR - CUSTOMER ADVANCE PAYMENT</t>
        </is>
      </c>
      <c r="D14" s="25" t="inlineStr">
        <is>
          <t>NCBL456778</t>
        </is>
      </c>
      <c r="E14" s="27" t="inlineStr">
        <is>
          <t>-</t>
        </is>
      </c>
      <c r="F14" s="29" t="n">
        <v>1250000</v>
      </c>
      <c r="G14" s="28" t="n">
        <v>11140000</v>
      </c>
    </row>
    <row r="15" ht="16" customHeight="1">
      <c r="A15" s="20" t="inlineStr">
        <is>
          <t>07-Oct-2024</t>
        </is>
      </c>
      <c r="B15" s="20" t="inlineStr">
        <is>
          <t>07-Oct-2024</t>
        </is>
      </c>
      <c r="C15" s="21" t="inlineStr">
        <is>
          <t>NEFT DR - GST PAYMENT - GSTN PORTAL</t>
        </is>
      </c>
      <c r="D15" s="20" t="inlineStr">
        <is>
          <t>NCBL900581</t>
        </is>
      </c>
      <c r="E15" s="22" t="n">
        <v>1240000</v>
      </c>
      <c r="F15" s="23" t="inlineStr">
        <is>
          <t>-</t>
        </is>
      </c>
      <c r="G15" s="24" t="n">
        <v>9900000</v>
      </c>
    </row>
    <row r="16" ht="16" customHeight="1">
      <c r="A16" s="25" t="inlineStr">
        <is>
          <t>10-Oct-2024</t>
        </is>
      </c>
      <c r="B16" s="25" t="inlineStr">
        <is>
          <t>10-Oct-2024</t>
        </is>
      </c>
      <c r="C16" s="26" t="inlineStr">
        <is>
          <t>CHQ DR - INSURANCE PREMIUM ANNUAL</t>
        </is>
      </c>
      <c r="D16" s="25" t="inlineStr">
        <is>
          <t>CHQ201414</t>
        </is>
      </c>
      <c r="E16" s="22" t="n">
        <v>680000</v>
      </c>
      <c r="F16" s="27" t="inlineStr">
        <is>
          <t>-</t>
        </is>
      </c>
      <c r="G16" s="28" t="n">
        <v>9220000</v>
      </c>
    </row>
    <row r="17" ht="16" customHeight="1">
      <c r="A17" s="20" t="inlineStr">
        <is>
          <t>13-Oct-2024</t>
        </is>
      </c>
      <c r="B17" s="20" t="inlineStr">
        <is>
          <t>13-Oct-2024</t>
        </is>
      </c>
      <c r="C17" s="21" t="inlineStr">
        <is>
          <t>RTGS CR - GODREJ DISTRIBUTION LTD</t>
        </is>
      </c>
      <c r="D17" s="20" t="inlineStr">
        <is>
          <t>NCBL946335</t>
        </is>
      </c>
      <c r="E17" s="23" t="inlineStr">
        <is>
          <t>-</t>
        </is>
      </c>
      <c r="F17" s="29" t="n">
        <v>6200000</v>
      </c>
      <c r="G17" s="24" t="n">
        <v>15420000</v>
      </c>
    </row>
    <row r="18" ht="16" customHeight="1">
      <c r="A18" s="25" t="inlineStr">
        <is>
          <t>13-Oct-2024</t>
        </is>
      </c>
      <c r="B18" s="25" t="inlineStr">
        <is>
          <t>13-Oct-2024</t>
        </is>
      </c>
      <c r="C18" s="26" t="inlineStr">
        <is>
          <t>NEFT DR - TDS PAYMENT - INCOME TAX</t>
        </is>
      </c>
      <c r="D18" s="25" t="inlineStr">
        <is>
          <t>NCBL581741</t>
        </is>
      </c>
      <c r="E18" s="22" t="n">
        <v>925000</v>
      </c>
      <c r="F18" s="27" t="inlineStr">
        <is>
          <t>-</t>
        </is>
      </c>
      <c r="G18" s="28" t="n">
        <v>14495000</v>
      </c>
    </row>
    <row r="19" ht="16" customHeight="1">
      <c r="A19" s="20" t="inlineStr">
        <is>
          <t>16-Oct-2024</t>
        </is>
      </c>
      <c r="B19" s="20" t="inlineStr">
        <is>
          <t>16-Oct-2024</t>
        </is>
      </c>
      <c r="C19" s="21" t="inlineStr">
        <is>
          <t>RTGS DR - EQUIPMENT PURCHASE</t>
        </is>
      </c>
      <c r="D19" s="20" t="inlineStr">
        <is>
          <t>NCBL407419</t>
        </is>
      </c>
      <c r="E19" s="22" t="n">
        <v>5500000</v>
      </c>
      <c r="F19" s="23" t="inlineStr">
        <is>
          <t>-</t>
        </is>
      </c>
      <c r="G19" s="24" t="n">
        <v>8995000</v>
      </c>
    </row>
    <row r="20" ht="16" customHeight="1">
      <c r="A20" s="25" t="inlineStr">
        <is>
          <t>16-Oct-2024</t>
        </is>
      </c>
      <c r="B20" s="25" t="inlineStr">
        <is>
          <t>16-Oct-2024</t>
        </is>
      </c>
      <c r="C20" s="26" t="inlineStr">
        <is>
          <t>NEFT CR - TATA RETAIL SOLUTIONS</t>
        </is>
      </c>
      <c r="D20" s="25" t="inlineStr">
        <is>
          <t>NCBL748564</t>
        </is>
      </c>
      <c r="E20" s="27" t="inlineStr">
        <is>
          <t>-</t>
        </is>
      </c>
      <c r="F20" s="29" t="n">
        <v>4430000</v>
      </c>
      <c r="G20" s="28" t="n">
        <v>13425000</v>
      </c>
    </row>
    <row r="21" ht="16" customHeight="1">
      <c r="A21" s="20" t="inlineStr">
        <is>
          <t>17-Oct-2024</t>
        </is>
      </c>
      <c r="B21" s="20" t="inlineStr">
        <is>
          <t>17-Oct-2024</t>
        </is>
      </c>
      <c r="C21" s="21" t="inlineStr">
        <is>
          <t>NEFT DR - SALARY DISBURSEMENT NOV 2024</t>
        </is>
      </c>
      <c r="D21" s="20" t="inlineStr">
        <is>
          <t>NCBL172933</t>
        </is>
      </c>
      <c r="E21" s="22" t="n">
        <v>4650000</v>
      </c>
      <c r="F21" s="23" t="inlineStr">
        <is>
          <t>-</t>
        </is>
      </c>
      <c r="G21" s="24" t="n">
        <v>8775000</v>
      </c>
    </row>
    <row r="22" ht="16" customHeight="1">
      <c r="A22" s="25" t="inlineStr">
        <is>
          <t>17-Oct-2024</t>
        </is>
      </c>
      <c r="B22" s="25" t="inlineStr">
        <is>
          <t>17-Oct-2024</t>
        </is>
      </c>
      <c r="C22" s="26" t="inlineStr">
        <is>
          <t>CHQ DR - PROFESSIONAL FEES - AUDIT</t>
        </is>
      </c>
      <c r="D22" s="25" t="inlineStr">
        <is>
          <t>CHQ338968</t>
        </is>
      </c>
      <c r="E22" s="22" t="n">
        <v>450000</v>
      </c>
      <c r="F22" s="27" t="inlineStr">
        <is>
          <t>-</t>
        </is>
      </c>
      <c r="G22" s="28" t="n">
        <v>8325000</v>
      </c>
    </row>
    <row r="23" ht="16" customHeight="1">
      <c r="A23" s="20" t="inlineStr">
        <is>
          <t>17-Oct-2024</t>
        </is>
      </c>
      <c r="B23" s="20" t="inlineStr">
        <is>
          <t>17-Oct-2024</t>
        </is>
      </c>
      <c r="C23" s="21" t="inlineStr">
        <is>
          <t>IMPS CR - SALES RECEIPT ONLINE</t>
        </is>
      </c>
      <c r="D23" s="20" t="inlineStr">
        <is>
          <t>NCBL183667</t>
        </is>
      </c>
      <c r="E23" s="23" t="inlineStr">
        <is>
          <t>-</t>
        </is>
      </c>
      <c r="F23" s="29" t="n">
        <v>890000</v>
      </c>
      <c r="G23" s="24" t="n">
        <v>9215000</v>
      </c>
    </row>
    <row r="24" ht="16" customHeight="1">
      <c r="A24" s="25" t="inlineStr">
        <is>
          <t>20-Oct-2024</t>
        </is>
      </c>
      <c r="B24" s="25" t="inlineStr">
        <is>
          <t>20-Oct-2024</t>
        </is>
      </c>
      <c r="C24" s="26" t="inlineStr">
        <is>
          <t>NEFT DR - LOAN EMI - NCBL TERM LOAN</t>
        </is>
      </c>
      <c r="D24" s="25" t="inlineStr">
        <is>
          <t>NCBL575435</t>
        </is>
      </c>
      <c r="E24" s="22" t="n">
        <v>1875000</v>
      </c>
      <c r="F24" s="27" t="inlineStr">
        <is>
          <t>-</t>
        </is>
      </c>
      <c r="G24" s="28" t="n">
        <v>7340000</v>
      </c>
    </row>
    <row r="25" ht="16" customHeight="1">
      <c r="A25" s="20" t="inlineStr">
        <is>
          <t>22-Oct-2024</t>
        </is>
      </c>
      <c r="B25" s="20" t="inlineStr">
        <is>
          <t>22-Oct-2024</t>
        </is>
      </c>
      <c r="C25" s="21" t="inlineStr">
        <is>
          <t>RTGS DR - IMPORT PAYMENT - FOREX</t>
        </is>
      </c>
      <c r="D25" s="20" t="inlineStr">
        <is>
          <t>NCBL319684</t>
        </is>
      </c>
      <c r="E25" s="22" t="n">
        <v>3200000</v>
      </c>
      <c r="F25" s="23" t="inlineStr">
        <is>
          <t>-</t>
        </is>
      </c>
      <c r="G25" s="24" t="n">
        <v>4140000</v>
      </c>
    </row>
    <row r="26" ht="16" customHeight="1">
      <c r="A26" s="25" t="inlineStr">
        <is>
          <t>25-Oct-2024</t>
        </is>
      </c>
      <c r="B26" s="25" t="inlineStr">
        <is>
          <t>25-Oct-2024</t>
        </is>
      </c>
      <c r="C26" s="26" t="inlineStr">
        <is>
          <t>RTGS CR - BIRLA TRADERS PVT LTD</t>
        </is>
      </c>
      <c r="D26" s="25" t="inlineStr">
        <is>
          <t>NCBL779514</t>
        </is>
      </c>
      <c r="E26" s="27" t="inlineStr">
        <is>
          <t>-</t>
        </is>
      </c>
      <c r="F26" s="29" t="n">
        <v>7250000</v>
      </c>
      <c r="G26" s="28" t="n">
        <v>11390000</v>
      </c>
    </row>
    <row r="27" ht="16" customHeight="1">
      <c r="A27" s="20" t="inlineStr">
        <is>
          <t>25-Oct-2024</t>
        </is>
      </c>
      <c r="B27" s="20" t="inlineStr">
        <is>
          <t>25-Oct-2024</t>
        </is>
      </c>
      <c r="C27" s="21" t="inlineStr">
        <is>
          <t>NEFT DR - SALARY DISBURSEMENT DEC 2024</t>
        </is>
      </c>
      <c r="D27" s="20" t="inlineStr">
        <is>
          <t>NCBL765822</t>
        </is>
      </c>
      <c r="E27" s="22" t="n">
        <v>4700000</v>
      </c>
      <c r="F27" s="23" t="inlineStr">
        <is>
          <t>-</t>
        </is>
      </c>
      <c r="G27" s="24" t="n">
        <v>6690000</v>
      </c>
    </row>
    <row r="28" ht="16" customHeight="1">
      <c r="A28" s="25" t="inlineStr">
        <is>
          <t>25-Oct-2024</t>
        </is>
      </c>
      <c r="B28" s="25" t="inlineStr">
        <is>
          <t>25-Oct-2024</t>
        </is>
      </c>
      <c r="C28" s="26" t="inlineStr">
        <is>
          <t>CHQ DR - ADVANCE TAX Q3</t>
        </is>
      </c>
      <c r="D28" s="25" t="inlineStr">
        <is>
          <t>CHQ864544</t>
        </is>
      </c>
      <c r="E28" s="22" t="n">
        <v>3500000</v>
      </c>
      <c r="F28" s="27" t="inlineStr">
        <is>
          <t>-</t>
        </is>
      </c>
      <c r="G28" s="28" t="n">
        <v>3190000</v>
      </c>
    </row>
    <row r="29" ht="16" customHeight="1">
      <c r="A29" s="20" t="inlineStr">
        <is>
          <t>28-Oct-2024</t>
        </is>
      </c>
      <c r="B29" s="20" t="inlineStr">
        <is>
          <t>28-Oct-2024</t>
        </is>
      </c>
      <c r="C29" s="21" t="inlineStr">
        <is>
          <t>NEFT CR - MUMBAI WHOLESALE MART</t>
        </is>
      </c>
      <c r="D29" s="20" t="inlineStr">
        <is>
          <t>NCBL383060</t>
        </is>
      </c>
      <c r="E29" s="23" t="inlineStr">
        <is>
          <t>-</t>
        </is>
      </c>
      <c r="F29" s="29" t="n">
        <v>3360000</v>
      </c>
      <c r="G29" s="24" t="n">
        <v>6550000</v>
      </c>
    </row>
    <row r="30" ht="16" customHeight="1">
      <c r="A30" s="25" t="inlineStr">
        <is>
          <t>30-Oct-2024</t>
        </is>
      </c>
      <c r="B30" s="25" t="inlineStr">
        <is>
          <t>30-Oct-2024</t>
        </is>
      </c>
      <c r="C30" s="26" t="inlineStr">
        <is>
          <t>NEFT DR - VENDOR PAYMENT - LOGISTICS</t>
        </is>
      </c>
      <c r="D30" s="25" t="inlineStr">
        <is>
          <t>NCBL905635</t>
        </is>
      </c>
      <c r="E30" s="22" t="n">
        <v>1420000</v>
      </c>
      <c r="F30" s="27" t="inlineStr">
        <is>
          <t>-</t>
        </is>
      </c>
      <c r="G30" s="28" t="n">
        <v>5130000</v>
      </c>
    </row>
    <row r="31" ht="16" customHeight="1">
      <c r="A31" s="20" t="inlineStr">
        <is>
          <t>30-Oct-2024</t>
        </is>
      </c>
      <c r="B31" s="20" t="inlineStr">
        <is>
          <t>30-Oct-2024</t>
        </is>
      </c>
      <c r="C31" s="21" t="inlineStr">
        <is>
          <t>RTGS CR - EXPORT PROCEEDS FOREIGN</t>
        </is>
      </c>
      <c r="D31" s="20" t="inlineStr">
        <is>
          <t>NCBL340174</t>
        </is>
      </c>
      <c r="E31" s="23" t="inlineStr">
        <is>
          <t>-</t>
        </is>
      </c>
      <c r="F31" s="29" t="n">
        <v>9500000</v>
      </c>
      <c r="G31" s="24" t="n">
        <v>14630000</v>
      </c>
    </row>
    <row r="32" ht="16" customHeight="1">
      <c r="A32" s="25" t="inlineStr">
        <is>
          <t>30-Oct-2024</t>
        </is>
      </c>
      <c r="B32" s="25" t="inlineStr">
        <is>
          <t>30-Oct-2024</t>
        </is>
      </c>
      <c r="C32" s="26" t="inlineStr">
        <is>
          <t>NEFT CR - HDFC INSURANCE REFUND</t>
        </is>
      </c>
      <c r="D32" s="25" t="inlineStr">
        <is>
          <t>NCBL944151</t>
        </is>
      </c>
      <c r="E32" s="27" t="inlineStr">
        <is>
          <t>-</t>
        </is>
      </c>
      <c r="F32" s="29" t="n">
        <v>520000</v>
      </c>
      <c r="G32" s="28" t="n">
        <v>15150000</v>
      </c>
    </row>
    <row r="33" ht="16" customHeight="1">
      <c r="A33" s="20" t="inlineStr">
        <is>
          <t>01-Nov-2024</t>
        </is>
      </c>
      <c r="B33" s="20" t="inlineStr">
        <is>
          <t>01-Nov-2024</t>
        </is>
      </c>
      <c r="C33" s="21" t="inlineStr">
        <is>
          <t>RTGS DR - PACKAGING MATERIAL PURCHASE</t>
        </is>
      </c>
      <c r="D33" s="20" t="inlineStr">
        <is>
          <t>NCBL321231</t>
        </is>
      </c>
      <c r="E33" s="22" t="n">
        <v>2850000</v>
      </c>
      <c r="F33" s="23" t="inlineStr">
        <is>
          <t>-</t>
        </is>
      </c>
      <c r="G33" s="24" t="n">
        <v>12300000</v>
      </c>
    </row>
    <row r="34" ht="16" customHeight="1">
      <c r="A34" s="25" t="inlineStr">
        <is>
          <t>01-Nov-2024</t>
        </is>
      </c>
      <c r="B34" s="25" t="inlineStr">
        <is>
          <t>01-Nov-2024</t>
        </is>
      </c>
      <c r="C34" s="26" t="inlineStr">
        <is>
          <t>IMPS CR - ADVANCE FROM CUSTOMER</t>
        </is>
      </c>
      <c r="D34" s="25" t="inlineStr">
        <is>
          <t>NCBL694731</t>
        </is>
      </c>
      <c r="E34" s="27" t="inlineStr">
        <is>
          <t>-</t>
        </is>
      </c>
      <c r="F34" s="29" t="n">
        <v>1875000</v>
      </c>
      <c r="G34" s="28" t="n">
        <v>14175000</v>
      </c>
    </row>
    <row r="35" ht="16" customHeight="1">
      <c r="A35" s="20" t="inlineStr">
        <is>
          <t>04-Nov-2024</t>
        </is>
      </c>
      <c r="B35" s="20" t="inlineStr">
        <is>
          <t>04-Nov-2024</t>
        </is>
      </c>
      <c r="C35" s="21" t="inlineStr">
        <is>
          <t>NEFT CR - RELIANCE SUPPLY CHAIN</t>
        </is>
      </c>
      <c r="D35" s="20" t="inlineStr">
        <is>
          <t>NCBL514850</t>
        </is>
      </c>
      <c r="E35" s="23" t="inlineStr">
        <is>
          <t>-</t>
        </is>
      </c>
      <c r="F35" s="29" t="n">
        <v>5640000</v>
      </c>
      <c r="G35" s="24" t="n">
        <v>19815000</v>
      </c>
    </row>
    <row r="36" ht="16" customHeight="1">
      <c r="A36" s="25" t="inlineStr">
        <is>
          <t>07-Nov-2024</t>
        </is>
      </c>
      <c r="B36" s="25" t="inlineStr">
        <is>
          <t>07-Nov-2024</t>
        </is>
      </c>
      <c r="C36" s="26" t="inlineStr">
        <is>
          <t>NEFT DR - SALARY DISBURSEMENT JAN 2025</t>
        </is>
      </c>
      <c r="D36" s="25" t="inlineStr">
        <is>
          <t>NCBL358607</t>
        </is>
      </c>
      <c r="E36" s="22" t="n">
        <v>4825000</v>
      </c>
      <c r="F36" s="27" t="inlineStr">
        <is>
          <t>-</t>
        </is>
      </c>
      <c r="G36" s="28" t="n">
        <v>14990000</v>
      </c>
    </row>
    <row r="37" ht="16" customHeight="1">
      <c r="A37" s="20" t="inlineStr">
        <is>
          <t>11-Nov-2024</t>
        </is>
      </c>
      <c r="B37" s="20" t="inlineStr">
        <is>
          <t>11-Nov-2024</t>
        </is>
      </c>
      <c r="C37" s="21" t="inlineStr">
        <is>
          <t>RTGS CR - SIEMENS INDIA LIMITED</t>
        </is>
      </c>
      <c r="D37" s="20" t="inlineStr">
        <is>
          <t>NCBL711878</t>
        </is>
      </c>
      <c r="E37" s="23" t="inlineStr">
        <is>
          <t>-</t>
        </is>
      </c>
      <c r="F37" s="29" t="n">
        <v>8100000</v>
      </c>
      <c r="G37" s="24" t="n">
        <v>23090000</v>
      </c>
    </row>
    <row r="38" ht="16" customHeight="1">
      <c r="A38" s="25" t="inlineStr">
        <is>
          <t>11-Nov-2024</t>
        </is>
      </c>
      <c r="B38" s="25" t="inlineStr">
        <is>
          <t>11-Nov-2024</t>
        </is>
      </c>
      <c r="C38" s="26" t="inlineStr">
        <is>
          <t>CHQ DR - OFFICE MAINTENANCE</t>
        </is>
      </c>
      <c r="D38" s="25" t="inlineStr">
        <is>
          <t>CHQ329974</t>
        </is>
      </c>
      <c r="E38" s="22" t="n">
        <v>280000</v>
      </c>
      <c r="F38" s="27" t="inlineStr">
        <is>
          <t>-</t>
        </is>
      </c>
      <c r="G38" s="28" t="n">
        <v>22810000</v>
      </c>
    </row>
    <row r="39" ht="16" customHeight="1">
      <c r="A39" s="20" t="inlineStr">
        <is>
          <t>11-Nov-2024</t>
        </is>
      </c>
      <c r="B39" s="20" t="inlineStr">
        <is>
          <t>11-Nov-2024</t>
        </is>
      </c>
      <c r="C39" s="21" t="inlineStr">
        <is>
          <t>NEFT CR - PHARMA DIST NETWORK</t>
        </is>
      </c>
      <c r="D39" s="20" t="inlineStr">
        <is>
          <t>NCBL245051</t>
        </is>
      </c>
      <c r="E39" s="23" t="inlineStr">
        <is>
          <t>-</t>
        </is>
      </c>
      <c r="F39" s="29" t="n">
        <v>4230000</v>
      </c>
      <c r="G39" s="24" t="n">
        <v>27040000</v>
      </c>
    </row>
    <row r="40" ht="16" customHeight="1">
      <c r="A40" s="25" t="inlineStr">
        <is>
          <t>14-Nov-2024</t>
        </is>
      </c>
      <c r="B40" s="25" t="inlineStr">
        <is>
          <t>14-Nov-2024</t>
        </is>
      </c>
      <c r="C40" s="26" t="inlineStr">
        <is>
          <t>NEFT CR - RAJESH INDUSTRIES LTD</t>
        </is>
      </c>
      <c r="D40" s="25" t="inlineStr">
        <is>
          <t>NCBL214975</t>
        </is>
      </c>
      <c r="E40" s="27" t="inlineStr">
        <is>
          <t>-</t>
        </is>
      </c>
      <c r="F40" s="29" t="n">
        <v>3980000</v>
      </c>
      <c r="G40" s="28" t="n">
        <v>31020000</v>
      </c>
    </row>
    <row r="41" ht="16" customHeight="1">
      <c r="A41" s="20" t="inlineStr">
        <is>
          <t>18-Nov-2024</t>
        </is>
      </c>
      <c r="B41" s="20" t="inlineStr">
        <is>
          <t>18-Nov-2024</t>
        </is>
      </c>
      <c r="C41" s="21" t="inlineStr">
        <is>
          <t>NEFT DR - GST PAYMENT Q4</t>
        </is>
      </c>
      <c r="D41" s="20" t="inlineStr">
        <is>
          <t>NCBL813536</t>
        </is>
      </c>
      <c r="E41" s="22" t="n">
        <v>1560000</v>
      </c>
      <c r="F41" s="23" t="inlineStr">
        <is>
          <t>-</t>
        </is>
      </c>
      <c r="G41" s="24" t="n">
        <v>29460000</v>
      </c>
    </row>
    <row r="42" ht="16" customHeight="1">
      <c r="A42" s="25" t="inlineStr">
        <is>
          <t>18-Nov-2024</t>
        </is>
      </c>
      <c r="B42" s="25" t="inlineStr">
        <is>
          <t>18-Nov-2024</t>
        </is>
      </c>
      <c r="C42" s="26" t="inlineStr">
        <is>
          <t>RTGS DR - MACHINERY REPAIR</t>
        </is>
      </c>
      <c r="D42" s="25" t="inlineStr">
        <is>
          <t>NCBL166613</t>
        </is>
      </c>
      <c r="E42" s="22" t="n">
        <v>840000</v>
      </c>
      <c r="F42" s="27" t="inlineStr">
        <is>
          <t>-</t>
        </is>
      </c>
      <c r="G42" s="28" t="n">
        <v>28620000</v>
      </c>
    </row>
    <row r="43" ht="16" customHeight="1">
      <c r="A43" s="20" t="inlineStr">
        <is>
          <t>18-Nov-2024</t>
        </is>
      </c>
      <c r="B43" s="20" t="inlineStr">
        <is>
          <t>18-Nov-2024</t>
        </is>
      </c>
      <c r="C43" s="21" t="inlineStr">
        <is>
          <t>NEFT DR - SALARY DISBURSEMENT FEB 2025</t>
        </is>
      </c>
      <c r="D43" s="20" t="inlineStr">
        <is>
          <t>NCBL724834</t>
        </is>
      </c>
      <c r="E43" s="22" t="n">
        <v>4950000</v>
      </c>
      <c r="F43" s="23" t="inlineStr">
        <is>
          <t>-</t>
        </is>
      </c>
      <c r="G43" s="24" t="n">
        <v>23670000</v>
      </c>
    </row>
    <row r="44" ht="16" customHeight="1">
      <c r="A44" s="25" t="inlineStr">
        <is>
          <t>20-Nov-2024</t>
        </is>
      </c>
      <c r="B44" s="25" t="inlineStr">
        <is>
          <t>20-Nov-2024</t>
        </is>
      </c>
      <c r="C44" s="26" t="inlineStr">
        <is>
          <t>CHQ DR - LEGAL &amp; PROFESSIONAL FEES</t>
        </is>
      </c>
      <c r="D44" s="25" t="inlineStr">
        <is>
          <t>CHQ680099</t>
        </is>
      </c>
      <c r="E44" s="22" t="n">
        <v>375000</v>
      </c>
      <c r="F44" s="27" t="inlineStr">
        <is>
          <t>-</t>
        </is>
      </c>
      <c r="G44" s="28" t="n">
        <v>23295000</v>
      </c>
    </row>
    <row r="45" ht="16" customHeight="1">
      <c r="A45" s="20" t="inlineStr">
        <is>
          <t>20-Nov-2024</t>
        </is>
      </c>
      <c r="B45" s="20" t="inlineStr">
        <is>
          <t>20-Nov-2024</t>
        </is>
      </c>
      <c r="C45" s="21" t="inlineStr">
        <is>
          <t>RTGS CR - GLOBAL EXPORTS PVT LTD</t>
        </is>
      </c>
      <c r="D45" s="20" t="inlineStr">
        <is>
          <t>NCBL112038</t>
        </is>
      </c>
      <c r="E45" s="23" t="inlineStr">
        <is>
          <t>-</t>
        </is>
      </c>
      <c r="F45" s="29" t="n">
        <v>6800000</v>
      </c>
      <c r="G45" s="24" t="n">
        <v>30095000</v>
      </c>
    </row>
    <row r="46" ht="16" customHeight="1">
      <c r="A46" s="25" t="inlineStr">
        <is>
          <t>20-Nov-2024</t>
        </is>
      </c>
      <c r="B46" s="25" t="inlineStr">
        <is>
          <t>20-Nov-2024</t>
        </is>
      </c>
      <c r="C46" s="26" t="inlineStr">
        <is>
          <t>NEFT CR - MAHINDRA SUPPLIERS CO</t>
        </is>
      </c>
      <c r="D46" s="25" t="inlineStr">
        <is>
          <t>NCBL220116</t>
        </is>
      </c>
      <c r="E46" s="27" t="inlineStr">
        <is>
          <t>-</t>
        </is>
      </c>
      <c r="F46" s="29" t="n">
        <v>5210000</v>
      </c>
      <c r="G46" s="28" t="n">
        <v>35305000</v>
      </c>
    </row>
    <row r="47" ht="16" customHeight="1">
      <c r="A47" s="20" t="inlineStr">
        <is>
          <t>24-Nov-2024</t>
        </is>
      </c>
      <c r="B47" s="20" t="inlineStr">
        <is>
          <t>24-Nov-2024</t>
        </is>
      </c>
      <c r="C47" s="21" t="inlineStr">
        <is>
          <t>NEFT DR - VENDOR PAYMENT - IT SERVICES</t>
        </is>
      </c>
      <c r="D47" s="20" t="inlineStr">
        <is>
          <t>NCBL407757</t>
        </is>
      </c>
      <c r="E47" s="22" t="n">
        <v>2280000</v>
      </c>
      <c r="F47" s="23" t="inlineStr">
        <is>
          <t>-</t>
        </is>
      </c>
      <c r="G47" s="24" t="n">
        <v>33025000</v>
      </c>
    </row>
    <row r="48" ht="16" customHeight="1">
      <c r="A48" s="25" t="inlineStr">
        <is>
          <t>24-Nov-2024</t>
        </is>
      </c>
      <c r="B48" s="25" t="inlineStr">
        <is>
          <t>24-Nov-2024</t>
        </is>
      </c>
      <c r="C48" s="26" t="inlineStr">
        <is>
          <t>RTGS DR - IMPORT DUTY PAYMENT</t>
        </is>
      </c>
      <c r="D48" s="25" t="inlineStr">
        <is>
          <t>NCBL575763</t>
        </is>
      </c>
      <c r="E48" s="22" t="n">
        <v>4100000</v>
      </c>
      <c r="F48" s="27" t="inlineStr">
        <is>
          <t>-</t>
        </is>
      </c>
      <c r="G48" s="28" t="n">
        <v>28925000</v>
      </c>
    </row>
    <row r="49" ht="16" customHeight="1">
      <c r="A49" s="20" t="inlineStr">
        <is>
          <t>24-Nov-2024</t>
        </is>
      </c>
      <c r="B49" s="20" t="inlineStr">
        <is>
          <t>24-Nov-2024</t>
        </is>
      </c>
      <c r="C49" s="21" t="inlineStr">
        <is>
          <t>NEFT DR - SALARY DISBURSEMENT MAR 2025</t>
        </is>
      </c>
      <c r="D49" s="20" t="inlineStr">
        <is>
          <t>NCBL857168</t>
        </is>
      </c>
      <c r="E49" s="22" t="n">
        <v>5100000</v>
      </c>
      <c r="F49" s="23" t="inlineStr">
        <is>
          <t>-</t>
        </is>
      </c>
      <c r="G49" s="24" t="n">
        <v>23825000</v>
      </c>
    </row>
    <row r="50" ht="16" customHeight="1">
      <c r="A50" s="25" t="inlineStr">
        <is>
          <t>27-Nov-2024</t>
        </is>
      </c>
      <c r="B50" s="25" t="inlineStr">
        <is>
          <t>27-Nov-2024</t>
        </is>
      </c>
      <c r="C50" s="26" t="inlineStr">
        <is>
          <t>IMPS CR - CUSTOMER ADVANCE PAYMENT</t>
        </is>
      </c>
      <c r="D50" s="25" t="inlineStr">
        <is>
          <t>NCBL632342</t>
        </is>
      </c>
      <c r="E50" s="27" t="inlineStr">
        <is>
          <t>-</t>
        </is>
      </c>
      <c r="F50" s="29" t="n">
        <v>2860000</v>
      </c>
      <c r="G50" s="28" t="n">
        <v>26685000</v>
      </c>
    </row>
    <row r="51" ht="16" customHeight="1">
      <c r="A51" s="20" t="inlineStr">
        <is>
          <t>27-Nov-2024</t>
        </is>
      </c>
      <c r="B51" s="20" t="inlineStr">
        <is>
          <t>27-Nov-2024</t>
        </is>
      </c>
      <c r="C51" s="21" t="inlineStr">
        <is>
          <t>RTGS CR - GODREJ DISTRIBUTION LTD</t>
        </is>
      </c>
      <c r="D51" s="20" t="inlineStr">
        <is>
          <t>NCBL755674</t>
        </is>
      </c>
      <c r="E51" s="23" t="inlineStr">
        <is>
          <t>-</t>
        </is>
      </c>
      <c r="F51" s="29" t="n">
        <v>7725000</v>
      </c>
      <c r="G51" s="24" t="n">
        <v>34410000</v>
      </c>
    </row>
    <row r="52" ht="16" customHeight="1">
      <c r="A52" s="25" t="inlineStr">
        <is>
          <t>27-Nov-2024</t>
        </is>
      </c>
      <c r="B52" s="25" t="inlineStr">
        <is>
          <t>27-Nov-2024</t>
        </is>
      </c>
      <c r="C52" s="26" t="inlineStr">
        <is>
          <t>CHQ DR - ANNUAL MAINTENANCE CONTRACT</t>
        </is>
      </c>
      <c r="D52" s="25" t="inlineStr">
        <is>
          <t>CHQ769987</t>
        </is>
      </c>
      <c r="E52" s="22" t="n">
        <v>620000</v>
      </c>
      <c r="F52" s="27" t="inlineStr">
        <is>
          <t>-</t>
        </is>
      </c>
      <c r="G52" s="28" t="n">
        <v>33790000</v>
      </c>
    </row>
    <row r="53" ht="16" customHeight="1">
      <c r="A53" s="20" t="inlineStr">
        <is>
          <t>30-Nov-2024</t>
        </is>
      </c>
      <c r="B53" s="20" t="inlineStr">
        <is>
          <t>30-Nov-2024</t>
        </is>
      </c>
      <c r="C53" s="21" t="inlineStr">
        <is>
          <t>NEFT CR - TATA RETAIL SOLUTIONS</t>
        </is>
      </c>
      <c r="D53" s="20" t="inlineStr">
        <is>
          <t>NCBL492077</t>
        </is>
      </c>
      <c r="E53" s="23" t="inlineStr">
        <is>
          <t>-</t>
        </is>
      </c>
      <c r="F53" s="29" t="n">
        <v>3550000</v>
      </c>
      <c r="G53" s="24" t="n">
        <v>37340000</v>
      </c>
    </row>
    <row r="54" ht="16" customHeight="1">
      <c r="A54" s="25" t="inlineStr">
        <is>
          <t>02-Dec-2024</t>
        </is>
      </c>
      <c r="B54" s="25" t="inlineStr">
        <is>
          <t>02-Dec-2024</t>
        </is>
      </c>
      <c r="C54" s="26" t="inlineStr">
        <is>
          <t>IMPS CR - SALES RECEIPT ONLINE</t>
        </is>
      </c>
      <c r="D54" s="25" t="inlineStr">
        <is>
          <t>NCBL916449</t>
        </is>
      </c>
      <c r="E54" s="27" t="inlineStr">
        <is>
          <t>-</t>
        </is>
      </c>
      <c r="F54" s="29" t="n">
        <v>9100000</v>
      </c>
      <c r="G54" s="28" t="n">
        <v>46440000</v>
      </c>
    </row>
    <row r="55" ht="16" customHeight="1">
      <c r="A55" s="20" t="inlineStr">
        <is>
          <t>02-Dec-2024</t>
        </is>
      </c>
      <c r="B55" s="20" t="inlineStr">
        <is>
          <t>02-Dec-2024</t>
        </is>
      </c>
      <c r="C55" s="21" t="inlineStr">
        <is>
          <t>RTGS CR - BIRLA TRADERS PVT LTD</t>
        </is>
      </c>
      <c r="D55" s="20" t="inlineStr">
        <is>
          <t>NCBL656116</t>
        </is>
      </c>
      <c r="E55" s="23" t="inlineStr">
        <is>
          <t>-</t>
        </is>
      </c>
      <c r="F55" s="29" t="n">
        <v>4780000</v>
      </c>
      <c r="G55" s="24" t="n">
        <v>51220000</v>
      </c>
    </row>
    <row r="56" ht="16" customHeight="1">
      <c r="A56" s="25" t="inlineStr">
        <is>
          <t>02-Dec-2024</t>
        </is>
      </c>
      <c r="B56" s="25" t="inlineStr">
        <is>
          <t>02-Dec-2024</t>
        </is>
      </c>
      <c r="C56" s="26" t="inlineStr">
        <is>
          <t>NEFT CR - MUMBAI WHOLESALE MART</t>
        </is>
      </c>
      <c r="D56" s="25" t="inlineStr">
        <is>
          <t>NCBL100599</t>
        </is>
      </c>
      <c r="E56" s="27" t="inlineStr">
        <is>
          <t>-</t>
        </is>
      </c>
      <c r="F56" s="29" t="n">
        <v>6325000</v>
      </c>
      <c r="G56" s="28" t="n">
        <v>57545000</v>
      </c>
    </row>
    <row r="57" ht="16" customHeight="1">
      <c r="A57" s="20" t="inlineStr">
        <is>
          <t>04-Dec-2024</t>
        </is>
      </c>
      <c r="B57" s="20" t="inlineStr">
        <is>
          <t>04-Dec-2024</t>
        </is>
      </c>
      <c r="C57" s="21" t="inlineStr">
        <is>
          <t>RTGS CR - EXPORT PROCEEDS FOREIGN</t>
        </is>
      </c>
      <c r="D57" s="20" t="inlineStr">
        <is>
          <t>NCBL120422</t>
        </is>
      </c>
      <c r="E57" s="23" t="inlineStr">
        <is>
          <t>-</t>
        </is>
      </c>
      <c r="F57" s="29" t="n">
        <v>2940000</v>
      </c>
      <c r="G57" s="24" t="n">
        <v>60485000</v>
      </c>
    </row>
    <row r="58" ht="16" customHeight="1">
      <c r="A58" s="25" t="inlineStr">
        <is>
          <t>04-Dec-2024</t>
        </is>
      </c>
      <c r="B58" s="25" t="inlineStr">
        <is>
          <t>04-Dec-2024</t>
        </is>
      </c>
      <c r="C58" s="26" t="inlineStr">
        <is>
          <t>NEFT CR - HDFC INSURANCE REFUND</t>
        </is>
      </c>
      <c r="D58" s="25" t="inlineStr">
        <is>
          <t>NCBL217301</t>
        </is>
      </c>
      <c r="E58" s="27" t="inlineStr">
        <is>
          <t>-</t>
        </is>
      </c>
      <c r="F58" s="29" t="n">
        <v>8450000</v>
      </c>
      <c r="G58" s="28" t="n">
        <v>68935000</v>
      </c>
    </row>
    <row r="59" ht="16" customHeight="1">
      <c r="A59" s="20" t="inlineStr">
        <is>
          <t>07-Dec-2024</t>
        </is>
      </c>
      <c r="B59" s="20" t="inlineStr">
        <is>
          <t>07-Dec-2024</t>
        </is>
      </c>
      <c r="C59" s="21" t="inlineStr">
        <is>
          <t>IMPS CR - ADVANCE FROM CUSTOMER</t>
        </is>
      </c>
      <c r="D59" s="20" t="inlineStr">
        <is>
          <t>NCBL351083</t>
        </is>
      </c>
      <c r="E59" s="23" t="inlineStr">
        <is>
          <t>-</t>
        </is>
      </c>
      <c r="F59" s="29" t="n">
        <v>5575000</v>
      </c>
      <c r="G59" s="24" t="n">
        <v>74510000</v>
      </c>
    </row>
    <row r="60" ht="16" customHeight="1">
      <c r="A60" s="25" t="inlineStr">
        <is>
          <t>07-Dec-2024</t>
        </is>
      </c>
      <c r="B60" s="25" t="inlineStr">
        <is>
          <t>07-Dec-2024</t>
        </is>
      </c>
      <c r="C60" s="26" t="inlineStr">
        <is>
          <t>NEFT CR - RELIANCE SUPPLY CHAIN</t>
        </is>
      </c>
      <c r="D60" s="25" t="inlineStr">
        <is>
          <t>NCBL160738</t>
        </is>
      </c>
      <c r="E60" s="27" t="inlineStr">
        <is>
          <t>-</t>
        </is>
      </c>
      <c r="F60" s="29" t="n">
        <v>4120000</v>
      </c>
      <c r="G60" s="28" t="n">
        <v>78630000</v>
      </c>
    </row>
    <row r="61" ht="16" customHeight="1">
      <c r="A61" s="20" t="inlineStr">
        <is>
          <t>10-Dec-2024</t>
        </is>
      </c>
      <c r="B61" s="20" t="inlineStr">
        <is>
          <t>10-Dec-2024</t>
        </is>
      </c>
      <c r="C61" s="21" t="inlineStr">
        <is>
          <t>RTGS CR - SIEMENS INDIA LIMITED</t>
        </is>
      </c>
      <c r="D61" s="20" t="inlineStr">
        <is>
          <t>NCBL182582</t>
        </is>
      </c>
      <c r="E61" s="23" t="inlineStr">
        <is>
          <t>-</t>
        </is>
      </c>
      <c r="F61" s="29" t="n">
        <v>7300000</v>
      </c>
      <c r="G61" s="24" t="n">
        <v>85930000</v>
      </c>
    </row>
    <row r="62" ht="16" customHeight="1">
      <c r="A62" s="25" t="inlineStr">
        <is>
          <t>10-Dec-2024</t>
        </is>
      </c>
      <c r="B62" s="25" t="inlineStr">
        <is>
          <t>10-Dec-2024</t>
        </is>
      </c>
      <c r="C62" s="26" t="inlineStr">
        <is>
          <t>NEFT CR - PHARMA DIST NETWORK</t>
        </is>
      </c>
      <c r="D62" s="25" t="inlineStr">
        <is>
          <t>NCBL189814</t>
        </is>
      </c>
      <c r="E62" s="27" t="inlineStr">
        <is>
          <t>-</t>
        </is>
      </c>
      <c r="F62" s="29" t="n">
        <v>3845000</v>
      </c>
      <c r="G62" s="28" t="n">
        <v>89775000</v>
      </c>
    </row>
    <row r="63" ht="20" customHeight="1">
      <c r="A63" s="30" t="inlineStr"/>
      <c r="B63" s="30" t="inlineStr"/>
      <c r="C63" s="30" t="inlineStr">
        <is>
          <t>CLOSING BALANCE AS ON 31-MAR-2025</t>
        </is>
      </c>
      <c r="D63" s="30" t="inlineStr"/>
      <c r="E63" s="30" t="inlineStr"/>
      <c r="F63" s="30" t="inlineStr"/>
      <c r="G63" s="31" t="n">
        <v>89775000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2" customWidth="1" min="6" max="6"/>
  </cols>
  <sheetData>
    <row r="1" ht="36" customHeight="1">
      <c r="A1" s="17" t="inlineStr">
        <is>
          <t>MONTHLY CASH FLOW ANALYSIS — ABC PRIVATE LIMITED</t>
        </is>
      </c>
    </row>
    <row r="2" ht="16" customHeight="1">
      <c r="A2" s="2" t="inlineStr">
        <is>
          <t>Period: Oct 2024 – Mar 2025 | Account: NCBL-CORP-8821-0042</t>
        </is>
      </c>
    </row>
    <row r="4">
      <c r="A4" s="8" t="inlineStr">
        <is>
          <t>Month</t>
        </is>
      </c>
      <c r="B4" s="8" t="inlineStr">
        <is>
          <t>Opening Balance</t>
        </is>
      </c>
      <c r="C4" s="8" t="inlineStr">
        <is>
          <t>Total Credits</t>
        </is>
      </c>
      <c r="D4" s="8" t="inlineStr">
        <is>
          <t>Total Debits</t>
        </is>
      </c>
      <c r="E4" s="8" t="inlineStr">
        <is>
          <t>Net Flow</t>
        </is>
      </c>
      <c r="F4" s="8" t="inlineStr">
        <is>
          <t>Closing Balance</t>
        </is>
      </c>
    </row>
    <row r="5" ht="20" customHeight="1">
      <c r="A5" s="9" t="inlineStr">
        <is>
          <t>Oct-2024</t>
        </is>
      </c>
      <c r="B5" s="10" t="n">
        <v>10000000</v>
      </c>
      <c r="C5" s="10" t="n">
        <v>48250000</v>
      </c>
      <c r="D5" s="10" t="n">
        <v>39510000</v>
      </c>
      <c r="E5" s="10" t="n">
        <v>8740000</v>
      </c>
      <c r="F5" s="10" t="n">
        <v>18740000</v>
      </c>
    </row>
    <row r="6" ht="20" customHeight="1">
      <c r="A6" s="11" t="inlineStr">
        <is>
          <t>Nov-2024</t>
        </is>
      </c>
      <c r="B6" s="12" t="n">
        <v>18740000</v>
      </c>
      <c r="C6" s="12" t="n">
        <v>51075000</v>
      </c>
      <c r="D6" s="12" t="n">
        <v>42130000</v>
      </c>
      <c r="E6" s="12" t="n">
        <v>8945000</v>
      </c>
      <c r="F6" s="12" t="n">
        <v>27685000</v>
      </c>
    </row>
    <row r="7" ht="20" customHeight="1">
      <c r="A7" s="9" t="inlineStr">
        <is>
          <t>Dec-2024</t>
        </is>
      </c>
      <c r="B7" s="10" t="n">
        <v>27685000</v>
      </c>
      <c r="C7" s="10" t="n">
        <v>62500000</v>
      </c>
      <c r="D7" s="10" t="n">
        <v>51860000</v>
      </c>
      <c r="E7" s="10" t="n">
        <v>10640000</v>
      </c>
      <c r="F7" s="10" t="n">
        <v>38325000</v>
      </c>
    </row>
    <row r="8" ht="20" customHeight="1">
      <c r="A8" s="11" t="inlineStr">
        <is>
          <t>Jan-2025</t>
        </is>
      </c>
      <c r="B8" s="12" t="n">
        <v>38325000</v>
      </c>
      <c r="C8" s="12" t="n">
        <v>49520000</v>
      </c>
      <c r="D8" s="12" t="n">
        <v>47580000</v>
      </c>
      <c r="E8" s="12" t="n">
        <v>1940000</v>
      </c>
      <c r="F8" s="12" t="n">
        <v>40265000</v>
      </c>
    </row>
    <row r="9" ht="20" customHeight="1">
      <c r="A9" s="9" t="inlineStr">
        <is>
          <t>Feb-2025</t>
        </is>
      </c>
      <c r="B9" s="10" t="n">
        <v>40265000</v>
      </c>
      <c r="C9" s="10" t="n">
        <v>53840000</v>
      </c>
      <c r="D9" s="10" t="n">
        <v>51290000</v>
      </c>
      <c r="E9" s="10" t="n">
        <v>2550000</v>
      </c>
      <c r="F9" s="10" t="n">
        <v>42815000</v>
      </c>
    </row>
    <row r="10" ht="20" customHeight="1">
      <c r="A10" s="11" t="inlineStr">
        <is>
          <t>Mar-2025</t>
        </is>
      </c>
      <c r="B10" s="12" t="n">
        <v>42815000</v>
      </c>
      <c r="C10" s="12" t="n">
        <v>67215000</v>
      </c>
      <c r="D10" s="12" t="n">
        <v>59430000</v>
      </c>
      <c r="E10" s="12" t="n">
        <v>7785000</v>
      </c>
      <c r="F10" s="12" t="n">
        <v>50600000</v>
      </c>
    </row>
    <row r="11" ht="20" customHeight="1">
      <c r="A11" s="8" t="inlineStr">
        <is>
          <t>TOTAL / AVERAGE</t>
        </is>
      </c>
      <c r="B11" s="13">
        <f>B5</f>
        <v/>
      </c>
      <c r="C11" s="13">
        <f>SUM(C5:C10)</f>
        <v/>
      </c>
      <c r="D11" s="13">
        <f>SUM(D5:D10)</f>
        <v/>
      </c>
      <c r="E11" s="13">
        <f>SUM(E5:E10)</f>
        <v/>
      </c>
      <c r="F11" s="13">
        <f>F10</f>
        <v/>
      </c>
    </row>
    <row r="13">
      <c r="A13" s="3" t="inlineStr">
        <is>
          <t>CREDIT OFFICER OBSERVATIONS</t>
        </is>
      </c>
    </row>
    <row r="14" ht="20" customHeight="1">
      <c r="A14" s="32" t="inlineStr">
        <is>
          <t>✅ Consistent Credit Inflows</t>
        </is>
      </c>
      <c r="B14" s="33" t="inlineStr">
        <is>
          <t>Monthly credits range INR 4.82 Cr to 6.72 Cr — steady business activity</t>
        </is>
      </c>
    </row>
    <row r="15" ht="20" customHeight="1">
      <c r="A15" s="32" t="inlineStr">
        <is>
          <t>✅ Improving Balance Trend</t>
        </is>
      </c>
      <c r="B15" s="33" t="inlineStr">
        <is>
          <t>Closing balance grew from INR 1.87 Cr (Oct) to INR 5.06 Cr (Mar) — 170% growth</t>
        </is>
      </c>
    </row>
    <row r="16" ht="20" customHeight="1">
      <c r="A16" s="32" t="inlineStr">
        <is>
          <t>✅ Low Cheque Returns</t>
        </is>
      </c>
      <c r="B16" s="33" t="inlineStr">
        <is>
          <t>Only 2 inward cheque returns in 6 months — low credit risk signal</t>
        </is>
      </c>
    </row>
    <row r="17" ht="20" customHeight="1">
      <c r="A17" s="32" t="inlineStr">
        <is>
          <t>✅ OD Facility Utilisation</t>
        </is>
      </c>
      <c r="B17" s="33" t="inlineStr">
        <is>
          <t>Max OD used INR 48 Lakh vs limit of INR 2 Cr — conservative utilisation (24%)</t>
        </is>
      </c>
    </row>
    <row r="18" ht="20" customHeight="1">
      <c r="A18" s="34" t="inlineStr">
        <is>
          <t>⚠️ Jan 2025 Net Flow Dip</t>
        </is>
      </c>
      <c r="B18" s="35" t="inlineStr">
        <is>
          <t>Net inflow dropped to INR 19.4 Lakh in Jan — investigate seasonality or one-off debit</t>
        </is>
      </c>
    </row>
    <row r="19" ht="20" customHeight="1">
      <c r="A19" s="32" t="inlineStr">
        <is>
          <t>✅ Regular Loan EMI</t>
        </is>
      </c>
      <c r="B19" s="33" t="inlineStr">
        <is>
          <t>Consistent EMI deduction of INR 18.75L/month — no NPA signal</t>
        </is>
      </c>
    </row>
    <row r="20" ht="20" customHeight="1">
      <c r="A20" s="32" t="inlineStr">
        <is>
          <t>✅ Diverse Credit Sources</t>
        </is>
      </c>
      <c r="B20" s="33" t="inlineStr">
        <is>
          <t>Credits from multiple parties (NEFT, RTGS, IMPS) — not dependent on single customer</t>
        </is>
      </c>
    </row>
    <row r="21" ht="20" customHeight="1">
      <c r="A21" s="34" t="inlineStr">
        <is>
          <t>⚠️ Salary Debit Trend</t>
        </is>
      </c>
      <c r="B21" s="35" t="inlineStr">
        <is>
          <t>Monthly salary debits approx INR 45-51 Lakh — implies ~50-60 employees</t>
        </is>
      </c>
    </row>
  </sheetData>
  <mergeCells count="11">
    <mergeCell ref="B21:F21"/>
    <mergeCell ref="A2:F2"/>
    <mergeCell ref="A13:F13"/>
    <mergeCell ref="B16:F16"/>
    <mergeCell ref="B15:F15"/>
    <mergeCell ref="B20:F20"/>
    <mergeCell ref="A1:F1"/>
    <mergeCell ref="B19:F19"/>
    <mergeCell ref="B14:F14"/>
    <mergeCell ref="B17:F17"/>
    <mergeCell ref="B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2026-03-10T13:57:05Z</dcterms:created>
  <dcterms:modified xmlns:dcterms="http://purl.org/dc/terms/" xmlns:xsi="http://www.w3.org/2001/XMLSchema-instance" xsi:type="dcterms:W3CDTF">2026-03-10T13:57:05Z</dcterms:modified>
</cp:coreProperties>
</file>